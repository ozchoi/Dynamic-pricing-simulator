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ettinachan/Downloads/"/>
    </mc:Choice>
  </mc:AlternateContent>
  <xr:revisionPtr revIDLastSave="0" documentId="13_ncr:1_{BFA79457-FCE3-3F4D-BB15-9E597276F6B5}" xr6:coauthVersionLast="47" xr6:coauthVersionMax="47" xr10:uidLastSave="{00000000-0000-0000-0000-000000000000}"/>
  <bookViews>
    <workbookView xWindow="4280" yWindow="660" windowWidth="27420" windowHeight="15740" xr2:uid="{00000000-000D-0000-FFFF-FFFF00000000}"/>
  </bookViews>
  <sheets>
    <sheet name="Assumptions" sheetId="2" r:id="rId1"/>
    <sheet name="Dashboard" sheetId="4" r:id="rId2"/>
    <sheet name="Scenario_Simulator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" l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13" i="2"/>
  <c r="E14" i="2"/>
  <c r="E15" i="2"/>
  <c r="E16" i="2"/>
  <c r="E17" i="2"/>
  <c r="E18" i="2"/>
  <c r="E19" i="2"/>
  <c r="E20" i="2"/>
  <c r="F6" i="5" s="1"/>
  <c r="E12" i="2"/>
  <c r="F26" i="5"/>
  <c r="F25" i="5"/>
  <c r="F24" i="5"/>
  <c r="F23" i="5"/>
  <c r="F19" i="5"/>
  <c r="F17" i="5"/>
  <c r="F16" i="5"/>
  <c r="F12" i="5"/>
  <c r="F11" i="5"/>
  <c r="F9" i="5"/>
  <c r="F8" i="5"/>
  <c r="F7" i="5"/>
  <c r="F5" i="5"/>
  <c r="F4" i="5"/>
  <c r="F14" i="5" s="1"/>
  <c r="D21" i="4"/>
  <c r="B21" i="4"/>
  <c r="D20" i="4"/>
  <c r="B20" i="4"/>
  <c r="D19" i="4"/>
  <c r="B19" i="4"/>
  <c r="J19" i="4"/>
  <c r="H19" i="4"/>
  <c r="D18" i="4"/>
  <c r="B18" i="4"/>
  <c r="J18" i="4"/>
  <c r="H18" i="4"/>
  <c r="J17" i="4"/>
  <c r="H17" i="4"/>
  <c r="D17" i="4"/>
  <c r="B17" i="4"/>
  <c r="B9" i="4"/>
  <c r="B8" i="4"/>
  <c r="B7" i="4"/>
  <c r="B6" i="4"/>
  <c r="B5" i="4"/>
  <c r="B4" i="4"/>
  <c r="B14" i="4" s="1"/>
  <c r="F15" i="5" l="1"/>
  <c r="E18" i="4"/>
  <c r="E19" i="4"/>
  <c r="F10" i="5"/>
  <c r="F13" i="5" s="1"/>
  <c r="B10" i="4"/>
  <c r="F18" i="5" l="1"/>
  <c r="F20" i="5" s="1"/>
  <c r="K19" i="4"/>
  <c r="E17" i="4"/>
  <c r="E23" i="4"/>
  <c r="E21" i="4"/>
  <c r="C17" i="4"/>
  <c r="E24" i="4"/>
  <c r="K17" i="4"/>
  <c r="B11" i="4"/>
  <c r="E20" i="4"/>
  <c r="K18" i="4"/>
  <c r="E22" i="4"/>
  <c r="C20" i="4"/>
  <c r="I19" i="4"/>
  <c r="C18" i="4"/>
  <c r="C21" i="4" l="1"/>
  <c r="I17" i="4"/>
  <c r="B12" i="4"/>
  <c r="C19" i="4"/>
  <c r="I18" i="4"/>
  <c r="B13" i="4" l="1"/>
</calcChain>
</file>

<file path=xl/sharedStrings.xml><?xml version="1.0" encoding="utf-8"?>
<sst xmlns="http://schemas.openxmlformats.org/spreadsheetml/2006/main" count="353" uniqueCount="211">
  <si>
    <t>Expected revenue formula</t>
  </si>
  <si>
    <t>Assumptions — Pricing Grid, Factors, Probabilities</t>
  </si>
  <si>
    <t>Trial price default (HK$/hr)</t>
  </si>
  <si>
    <t>Lead score price adjustment per point</t>
  </si>
  <si>
    <t>Max retention probability cap</t>
  </si>
  <si>
    <t>Model version</t>
  </si>
  <si>
    <t>Prepared date</t>
  </si>
  <si>
    <t>Core Public Price Grid / Guardrails</t>
  </si>
  <si>
    <t>Key</t>
  </si>
  <si>
    <t>Programme</t>
  </si>
  <si>
    <t>Format</t>
  </si>
  <si>
    <t>Base Price (HK$/hr)</t>
  </si>
  <si>
    <t>Min Price</t>
  </si>
  <si>
    <t>Max Price</t>
  </si>
  <si>
    <t>IGCSE/IAL</t>
  </si>
  <si>
    <t>Group</t>
  </si>
  <si>
    <t>2:1</t>
  </si>
  <si>
    <t>1:1</t>
  </si>
  <si>
    <t>IBDP|Group</t>
  </si>
  <si>
    <t>IBDP</t>
  </si>
  <si>
    <t>IBDP|2:1</t>
  </si>
  <si>
    <t>IBDP|1:1</t>
  </si>
  <si>
    <t>TOK/EE</t>
  </si>
  <si>
    <t>Teacher Tier Factor</t>
  </si>
  <si>
    <t>Time Slot Factor</t>
  </si>
  <si>
    <t>Teacher Tier</t>
  </si>
  <si>
    <t>Price Factor</t>
  </si>
  <si>
    <t>Teacher Cost %</t>
  </si>
  <si>
    <t>Time Slot</t>
  </si>
  <si>
    <t>Factor</t>
  </si>
  <si>
    <t>Core</t>
  </si>
  <si>
    <t>Experienced</t>
  </si>
  <si>
    <t>Senior</t>
  </si>
  <si>
    <t>Weekend</t>
  </si>
  <si>
    <t>Exam Season Peak</t>
  </si>
  <si>
    <t>Capacity Factor</t>
  </si>
  <si>
    <t>Subject Demand Factor</t>
  </si>
  <si>
    <t>Min Utilisation</t>
  </si>
  <si>
    <t>Capacity Band</t>
  </si>
  <si>
    <t>Subject Type</t>
  </si>
  <si>
    <t>Underfilled (&lt;40%)</t>
  </si>
  <si>
    <t>Core Sciences</t>
  </si>
  <si>
    <t>Normal (40–70%)</t>
  </si>
  <si>
    <t>IBDP HL</t>
  </si>
  <si>
    <t>Tight (70–85%)</t>
  </si>
  <si>
    <t>IBDP SL</t>
  </si>
  <si>
    <t>Near full (85–95%)</t>
  </si>
  <si>
    <t>Waitlist / very scarce</t>
  </si>
  <si>
    <t>Math/English</t>
  </si>
  <si>
    <t>Other</t>
  </si>
  <si>
    <t>Source</t>
  </si>
  <si>
    <t>P Parent Reply</t>
  </si>
  <si>
    <t>P Trial Book</t>
  </si>
  <si>
    <t>P Trial Attend</t>
  </si>
  <si>
    <t>P Enrol After Trial</t>
  </si>
  <si>
    <t>P 8-Lesson Retention</t>
  </si>
  <si>
    <t>Instagram Organic</t>
  </si>
  <si>
    <t>Referral</t>
  </si>
  <si>
    <t>Google Search</t>
  </si>
  <si>
    <t>Lead Scoring Weights</t>
  </si>
  <si>
    <t>Urgency Score</t>
  </si>
  <si>
    <t>Price Sensitivity</t>
  </si>
  <si>
    <t>Score</t>
  </si>
  <si>
    <t>Urgency</t>
  </si>
  <si>
    <t>Low</t>
  </si>
  <si>
    <t>Medium</t>
  </si>
  <si>
    <t>High</t>
  </si>
  <si>
    <t>Parent Status Score</t>
  </si>
  <si>
    <t>Trial Outcome Score</t>
  </si>
  <si>
    <t>Parent Status</t>
  </si>
  <si>
    <t>Trial Outcome</t>
  </si>
  <si>
    <t>No reply</t>
  </si>
  <si>
    <t>Not yet</t>
  </si>
  <si>
    <t>Replied</t>
  </si>
  <si>
    <t>Strong</t>
  </si>
  <si>
    <t>Trial booked</t>
  </si>
  <si>
    <t>Trial attended</t>
  </si>
  <si>
    <t>Weak</t>
  </si>
  <si>
    <t>Enrolled</t>
  </si>
  <si>
    <t>Lost</t>
  </si>
  <si>
    <t>Current Students</t>
  </si>
  <si>
    <t>Max Capacity</t>
  </si>
  <si>
    <t>Expected Hours Override</t>
  </si>
  <si>
    <t>Price Override</t>
  </si>
  <si>
    <t>Base Price</t>
  </si>
  <si>
    <t>Teacher Factor</t>
  </si>
  <si>
    <t>Time Factor</t>
  </si>
  <si>
    <t>Subject Factor</t>
  </si>
  <si>
    <t>Lead Score</t>
  </si>
  <si>
    <t>Recommended Price</t>
  </si>
  <si>
    <t>Recommended Offer</t>
  </si>
  <si>
    <t>P Lead→Enrol</t>
  </si>
  <si>
    <t>Expected Billable Hours</t>
  </si>
  <si>
    <t>Expected Revenue</t>
  </si>
  <si>
    <t>Expected Gross Profit</t>
  </si>
  <si>
    <t>Dashboard — Funnel, Pricing, Expected Revenue</t>
  </si>
  <si>
    <t>KPI</t>
  </si>
  <si>
    <t>Value</t>
  </si>
  <si>
    <t>Notes / Target</t>
  </si>
  <si>
    <t>Total leads</t>
  </si>
  <si>
    <t>All logged leads</t>
  </si>
  <si>
    <t>Parent replied or later</t>
  </si>
  <si>
    <t>Higher is better</t>
  </si>
  <si>
    <t>Trial booked or later</t>
  </si>
  <si>
    <t>Funnel stage</t>
  </si>
  <si>
    <t>Trial attended or later</t>
  </si>
  <si>
    <t>Observed outcome</t>
  </si>
  <si>
    <t>Track lost reason</t>
  </si>
  <si>
    <t>Observed lead→enrol conversion</t>
  </si>
  <si>
    <t>Target will be set after baseline</t>
  </si>
  <si>
    <t>Average recommended price</t>
  </si>
  <si>
    <t>HK$/hr</t>
  </si>
  <si>
    <t>Total expected revenue</t>
  </si>
  <si>
    <t>Probability-weighted</t>
  </si>
  <si>
    <t>Total expected gross profit</t>
  </si>
  <si>
    <t>Revenue less teacher cost assumption</t>
  </si>
  <si>
    <t>Brand / organic lead share</t>
  </si>
  <si>
    <t>Vol.4 target: 35% by 90 days, 65% by 12 months</t>
  </si>
  <si>
    <t>Leads</t>
  </si>
  <si>
    <t>Avg Recommended Price</t>
  </si>
  <si>
    <t>Scenario Simulator — One-Case Price Recommendation</t>
  </si>
  <si>
    <t>Input</t>
  </si>
  <si>
    <t>Notes</t>
  </si>
  <si>
    <t>Output</t>
  </si>
  <si>
    <t>Formula Result</t>
  </si>
  <si>
    <t>Interpretation</t>
  </si>
  <si>
    <t>Calculation Link</t>
  </si>
  <si>
    <t>Dropdown</t>
  </si>
  <si>
    <t>Capacity Utilisation</t>
  </si>
  <si>
    <t>Class/tutor load</t>
  </si>
  <si>
    <t>Public price anchor</t>
  </si>
  <si>
    <t>Assumptions price grid</t>
  </si>
  <si>
    <t>Guardrail</t>
  </si>
  <si>
    <t>Tier premium</t>
  </si>
  <si>
    <t>Assumptions teacher factor</t>
  </si>
  <si>
    <t>Peak/non-peak</t>
  </si>
  <si>
    <t>Assumptions time factor</t>
  </si>
  <si>
    <t>Scarcity/underfilled adjustment</t>
  </si>
  <si>
    <t>Assumptions capacity factor</t>
  </si>
  <si>
    <t>Demand adjustment</t>
  </si>
  <si>
    <t>Assumptions subject factor</t>
  </si>
  <si>
    <t>Higher score allows premium confidence</t>
  </si>
  <si>
    <t>Scoring tables</t>
  </si>
  <si>
    <t>Recommended HK$/hr</t>
  </si>
  <si>
    <t>Capped pricing formula</t>
  </si>
  <si>
    <t>Current class / tutor load</t>
  </si>
  <si>
    <t>What staff should message</t>
  </si>
  <si>
    <t>Offer decision tree</t>
  </si>
  <si>
    <t>Seats / capacity</t>
  </si>
  <si>
    <t>Stage-adjusted probability</t>
  </si>
  <si>
    <t>Source probabilities</t>
  </si>
  <si>
    <t>Optional</t>
  </si>
  <si>
    <t>Retention confidence</t>
  </si>
  <si>
    <t>Source + trial outcome</t>
  </si>
  <si>
    <t>Optional manual quote</t>
  </si>
  <si>
    <t>Hours/lessons assumed</t>
  </si>
  <si>
    <t>Price × probability × retention × hours</t>
  </si>
  <si>
    <t>Gross margin assumption</t>
  </si>
  <si>
    <t>Teacher tier</t>
  </si>
  <si>
    <t>Revenue less teacher cost</t>
  </si>
  <si>
    <t>Gross profit formula</t>
  </si>
  <si>
    <t>Probability Helper</t>
  </si>
  <si>
    <t>Meaning</t>
  </si>
  <si>
    <t>Default from selected source</t>
  </si>
  <si>
    <t>Assumptions source table</t>
  </si>
  <si>
    <t>Ghost</t>
  </si>
  <si>
    <t>Zoom</t>
  </si>
  <si>
    <t>DSE</t>
  </si>
  <si>
    <t>IAL|Group</t>
  </si>
  <si>
    <t>IAL|2:1</t>
  </si>
  <si>
    <t>IAL|1:1</t>
  </si>
  <si>
    <t>IGCSE |1:1</t>
  </si>
  <si>
    <t>IGCSE |2:1</t>
  </si>
  <si>
    <t>IGCSE|Group</t>
  </si>
  <si>
    <t>IAL</t>
  </si>
  <si>
    <t>IGCSE</t>
  </si>
  <si>
    <t>可以再detail啲 (such 1600 - 1800, 1800 - 2000)</t>
  </si>
  <si>
    <t>Avg retention probability</t>
  </si>
  <si>
    <t xml:space="preserve">C - factor </t>
  </si>
  <si>
    <t>Paid Meta</t>
  </si>
  <si>
    <t>可以再detail啲 (Grade 7, 8, 9 with different price)</t>
  </si>
  <si>
    <t>Weekday 08:00-10:00</t>
  </si>
  <si>
    <t>Weekday 10:00-12:00</t>
  </si>
  <si>
    <t>Weekday 12:00-14:00</t>
  </si>
  <si>
    <t>Weekday 14:00-16:00</t>
  </si>
  <si>
    <t>Weekday 16:00-18:00</t>
  </si>
  <si>
    <t>Weekday 18:00-20:00</t>
  </si>
  <si>
    <t>Weekday 20:00-22:00</t>
  </si>
  <si>
    <t>Weekday 22:00-00:00</t>
  </si>
  <si>
    <t>Weekend 08:00-10:00</t>
  </si>
  <si>
    <t>Weekend10:00-12:00</t>
  </si>
  <si>
    <t>Weekend 12:00-14:00</t>
  </si>
  <si>
    <t>Weekend 14:00-16:00</t>
  </si>
  <si>
    <t>Weekdend 16:00-18:00</t>
  </si>
  <si>
    <t>Weekend 18:00-20:00</t>
  </si>
  <si>
    <t>Weekend 20:00-22:00</t>
  </si>
  <si>
    <t>Weekend 22:00-00:00</t>
  </si>
  <si>
    <t>IGCSE Science</t>
  </si>
  <si>
    <t>IGCSE Maths</t>
  </si>
  <si>
    <t>IGCSE Humanties</t>
  </si>
  <si>
    <t>Pre-IGCSE Humanities</t>
  </si>
  <si>
    <t>Pre-IGCSE Maths</t>
  </si>
  <si>
    <t>Pre-IGCSE Science</t>
  </si>
  <si>
    <t>Other (Music, Drama, Art)</t>
  </si>
  <si>
    <t>HKDSE</t>
  </si>
  <si>
    <t>F1</t>
  </si>
  <si>
    <t>F2</t>
  </si>
  <si>
    <t>F3</t>
  </si>
  <si>
    <t>F4</t>
  </si>
  <si>
    <t>F5</t>
  </si>
  <si>
    <t>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</si>
</sst>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[Red]\(0.0%\);\-"/>
    <numFmt numFmtId="165" formatCode="yyyy\-mm\-dd"/>
    <numFmt numFmtId="166" formatCode="#,##0;[Red]\(#,##0\);\-"/>
    <numFmt numFmtId="167" formatCode="0.00\x"/>
    <numFmt numFmtId="168" formatCode="[$-F400]h:mm:ss\ AM/PM"/>
  </numFmts>
  <fonts count="10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  <font>
      <sz val="11"/>
      <color theme="1"/>
      <name val="Carlito"/>
    </font>
    <font>
      <sz val="11"/>
      <color rgb="FF000000"/>
      <name val="Calibri"/>
      <family val="2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E7FF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FFF7ED"/>
      </patternFill>
    </fill>
    <fill>
      <patternFill patternType="solid">
        <fgColor rgb="FF1E3A8A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164" fontId="4" fillId="6" borderId="0" xfId="0" applyNumberFormat="1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  <xf numFmtId="0" fontId="5" fillId="0" borderId="0" xfId="0" applyFont="1" applyAlignment="1">
      <alignment vertical="center" wrapText="1"/>
    </xf>
    <xf numFmtId="167" fontId="4" fillId="6" borderId="0" xfId="0" applyNumberFormat="1" applyFont="1" applyFill="1" applyAlignment="1">
      <alignment vertical="center"/>
    </xf>
    <xf numFmtId="0" fontId="6" fillId="8" borderId="0" xfId="0" applyFont="1" applyFill="1" applyAlignment="1">
      <alignment vertical="center"/>
    </xf>
    <xf numFmtId="164" fontId="6" fillId="8" borderId="0" xfId="0" applyNumberFormat="1" applyFont="1" applyFill="1" applyAlignment="1">
      <alignment vertical="center"/>
    </xf>
    <xf numFmtId="166" fontId="0" fillId="0" borderId="0" xfId="0" applyNumberFormat="1" applyAlignment="1">
      <alignment vertical="center"/>
    </xf>
    <xf numFmtId="167" fontId="6" fillId="8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66" fontId="6" fillId="8" borderId="0" xfId="0" applyNumberFormat="1" applyFont="1" applyFill="1" applyAlignment="1">
      <alignment vertical="center"/>
    </xf>
    <xf numFmtId="167" fontId="4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8" fontId="8" fillId="0" borderId="0" xfId="0" applyNumberFormat="1" applyFont="1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Expected Revenue</c:v>
          </c:tx>
          <c:invertIfNegative val="1"/>
          <c:cat>
            <c:strRef>
              <c:f>Dashboard!$A$17:$A$23</c:f>
              <c:strCache>
                <c:ptCount val="5"/>
                <c:pt idx="0">
                  <c:v>Paid Meta</c:v>
                </c:pt>
                <c:pt idx="1">
                  <c:v>Instagram Organic</c:v>
                </c:pt>
                <c:pt idx="2">
                  <c:v>Referral</c:v>
                </c:pt>
                <c:pt idx="3">
                  <c:v>Google Search</c:v>
                </c:pt>
                <c:pt idx="4">
                  <c:v>Other</c:v>
                </c:pt>
              </c:strCache>
            </c:strRef>
          </c:cat>
          <c:val>
            <c:numRef>
              <c:f>Dashboard!$C$17:$C$23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5-0F4A-AA1E-9FCD21E11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4.0345165870659602E-2"/>
          <c:y val="5.7631046119235092E-2"/>
          <c:w val="0.95965483412934038"/>
          <c:h val="0.71315673040869887"/>
        </c:manualLayout>
      </c:layout>
      <c:barChart>
        <c:barDir val="col"/>
        <c:grouping val="clustered"/>
        <c:varyColors val="0"/>
        <c:ser>
          <c:idx val="0"/>
          <c:order val="0"/>
          <c:tx>
            <c:v>Funnel</c:v>
          </c:tx>
          <c:invertIfNegative val="1"/>
          <c:cat>
            <c:strRef>
              <c:f>Dashboard!$A$4:$A$9</c:f>
              <c:strCache>
                <c:ptCount val="6"/>
                <c:pt idx="0">
                  <c:v>Total leads</c:v>
                </c:pt>
                <c:pt idx="1">
                  <c:v>Parent replied or later</c:v>
                </c:pt>
                <c:pt idx="2">
                  <c:v>Trial booked or later</c:v>
                </c:pt>
                <c:pt idx="3">
                  <c:v>Trial attended or later</c:v>
                </c:pt>
                <c:pt idx="4">
                  <c:v>Enrolled</c:v>
                </c:pt>
                <c:pt idx="5">
                  <c:v>Lost</c:v>
                </c:pt>
              </c:strCache>
            </c:strRef>
          </c:cat>
          <c:val>
            <c:numRef>
              <c:f>Dashboard!$B$4:$B$9</c:f>
              <c:numCache>
                <c:formatCode>#,##0;[Red]\(#,##0\);\-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4-C84F-98A5-42B257AE7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52"/>
  <sheetViews>
    <sheetView tabSelected="1" topLeftCell="A95" zoomScale="138" zoomScaleNormal="138" workbookViewId="0">
      <selection activeCell="D117" sqref="D117"/>
    </sheetView>
  </sheetViews>
  <sheetFormatPr baseColWidth="10" defaultColWidth="8.83203125" defaultRowHeight="14"/>
  <cols>
    <col min="1" max="1" width="24" customWidth="1"/>
    <col min="2" max="2" width="18" customWidth="1"/>
    <col min="3" max="3" width="20" customWidth="1"/>
    <col min="4" max="4" width="16" customWidth="1"/>
    <col min="5" max="5" width="22.5" customWidth="1"/>
    <col min="6" max="7" width="16" customWidth="1"/>
    <col min="8" max="8" width="48" customWidth="1"/>
    <col min="9" max="9" width="18" customWidth="1"/>
  </cols>
  <sheetData>
    <row r="1" spans="1:46" ht="42.75" customHeight="1">
      <c r="A1" s="22" t="s">
        <v>1</v>
      </c>
      <c r="B1" s="22"/>
      <c r="C1" s="22"/>
      <c r="D1" s="22"/>
      <c r="E1" s="22"/>
      <c r="F1" s="22"/>
      <c r="G1" s="22"/>
      <c r="H1" s="2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32">
      <c r="A3" s="5" t="s">
        <v>2</v>
      </c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32">
      <c r="A4" s="5" t="s">
        <v>3</v>
      </c>
      <c r="B4" s="7"/>
      <c r="C4" s="2" t="s">
        <v>178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6">
      <c r="A5" s="5" t="s">
        <v>177</v>
      </c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32">
      <c r="A6" s="5" t="s">
        <v>4</v>
      </c>
      <c r="B6" s="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6">
      <c r="A7" s="5" t="s">
        <v>5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6">
      <c r="A8" s="5" t="s">
        <v>6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15">
      <c r="A10" s="21" t="s">
        <v>7</v>
      </c>
      <c r="B10" s="21"/>
      <c r="C10" s="21"/>
      <c r="D10" s="21"/>
      <c r="E10" s="21"/>
      <c r="F10" s="21"/>
      <c r="G10" s="21"/>
      <c r="H10" s="2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32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8"/>
      <c r="H11" s="1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>
      <c r="A12" s="2" t="s">
        <v>173</v>
      </c>
      <c r="B12" s="2" t="s">
        <v>175</v>
      </c>
      <c r="C12" s="2" t="s">
        <v>15</v>
      </c>
      <c r="D12" s="6">
        <v>480</v>
      </c>
      <c r="E12" s="6">
        <f>D12*0.9</f>
        <v>432</v>
      </c>
      <c r="F12" s="6"/>
      <c r="G12" s="20" t="s">
        <v>180</v>
      </c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>
      <c r="A13" s="2" t="s">
        <v>172</v>
      </c>
      <c r="B13" s="2" t="s">
        <v>175</v>
      </c>
      <c r="C13" s="2" t="s">
        <v>16</v>
      </c>
      <c r="D13" s="6">
        <v>680</v>
      </c>
      <c r="E13" s="6">
        <f t="shared" ref="E13:E19" si="0">D13*0.9</f>
        <v>612</v>
      </c>
      <c r="F13" s="6"/>
      <c r="G13" s="1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>
      <c r="A14" s="2" t="s">
        <v>171</v>
      </c>
      <c r="B14" s="2" t="s">
        <v>175</v>
      </c>
      <c r="C14" s="2" t="s">
        <v>17</v>
      </c>
      <c r="D14" s="6">
        <v>980</v>
      </c>
      <c r="E14" s="6">
        <f t="shared" si="0"/>
        <v>882</v>
      </c>
      <c r="F14" s="6"/>
      <c r="G14" s="19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>
      <c r="A15" s="2" t="s">
        <v>168</v>
      </c>
      <c r="B15" s="2" t="s">
        <v>174</v>
      </c>
      <c r="C15" s="2" t="s">
        <v>15</v>
      </c>
      <c r="D15" s="6">
        <v>580</v>
      </c>
      <c r="E15" s="6">
        <f t="shared" si="0"/>
        <v>522</v>
      </c>
      <c r="F15" s="6"/>
      <c r="G15" s="19"/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>
      <c r="A16" s="2" t="s">
        <v>169</v>
      </c>
      <c r="B16" s="2" t="s">
        <v>174</v>
      </c>
      <c r="C16" s="2" t="s">
        <v>16</v>
      </c>
      <c r="D16" s="6">
        <v>780</v>
      </c>
      <c r="E16" s="6">
        <f t="shared" si="0"/>
        <v>702</v>
      </c>
      <c r="F16" s="6"/>
      <c r="G16" s="19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52">
      <c r="A17" t="s">
        <v>170</v>
      </c>
      <c r="B17" s="2" t="s">
        <v>174</v>
      </c>
      <c r="C17" s="2" t="s">
        <v>17</v>
      </c>
      <c r="D17" s="6">
        <v>1080</v>
      </c>
      <c r="E17" s="6">
        <f t="shared" si="0"/>
        <v>972</v>
      </c>
      <c r="F17" s="6"/>
      <c r="G17" s="19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52">
      <c r="A18" s="2" t="s">
        <v>18</v>
      </c>
      <c r="B18" s="2" t="s">
        <v>19</v>
      </c>
      <c r="C18" s="2" t="s">
        <v>15</v>
      </c>
      <c r="D18" s="6">
        <v>580</v>
      </c>
      <c r="E18" s="6">
        <f t="shared" si="0"/>
        <v>522</v>
      </c>
      <c r="F18" s="6"/>
      <c r="G18" s="19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52">
      <c r="A19" s="2" t="s">
        <v>20</v>
      </c>
      <c r="B19" s="2" t="s">
        <v>19</v>
      </c>
      <c r="C19" s="2" t="s">
        <v>16</v>
      </c>
      <c r="D19" s="6">
        <v>780</v>
      </c>
      <c r="E19" s="6">
        <f t="shared" si="0"/>
        <v>702</v>
      </c>
      <c r="F19" s="6"/>
      <c r="G19" s="19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52">
      <c r="A20" s="2" t="s">
        <v>21</v>
      </c>
      <c r="B20" s="2" t="s">
        <v>19</v>
      </c>
      <c r="C20" s="2" t="s">
        <v>17</v>
      </c>
      <c r="D20" s="6">
        <v>1080</v>
      </c>
      <c r="E20" s="6">
        <f>D20*0.9</f>
        <v>972</v>
      </c>
      <c r="F20" s="6"/>
      <c r="G20" s="19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52">
      <c r="A21" s="24" t="s">
        <v>205</v>
      </c>
      <c r="B21" s="2" t="s">
        <v>204</v>
      </c>
      <c r="C21">
        <v>1</v>
      </c>
      <c r="D21">
        <v>420</v>
      </c>
      <c r="E21" s="6">
        <f>D21*0.9</f>
        <v>378</v>
      </c>
      <c r="F21" s="6"/>
      <c r="G21" s="19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52">
      <c r="A22" s="24" t="s">
        <v>205</v>
      </c>
      <c r="B22" s="2" t="s">
        <v>204</v>
      </c>
      <c r="C22">
        <v>2</v>
      </c>
      <c r="D22">
        <v>336</v>
      </c>
      <c r="E22" s="6">
        <f>D22*0.9</f>
        <v>302.40000000000003</v>
      </c>
      <c r="F22" s="6"/>
      <c r="G22" s="19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52">
      <c r="A23" s="24" t="s">
        <v>205</v>
      </c>
      <c r="B23" s="2" t="s">
        <v>204</v>
      </c>
      <c r="C23">
        <v>3</v>
      </c>
      <c r="D23">
        <v>273</v>
      </c>
      <c r="E23" s="6">
        <f>D23*0.9</f>
        <v>245.70000000000002</v>
      </c>
      <c r="F23" s="6"/>
      <c r="G23" s="19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52">
      <c r="A24" s="24" t="s">
        <v>205</v>
      </c>
      <c r="B24" s="2" t="s">
        <v>204</v>
      </c>
      <c r="C24">
        <v>4</v>
      </c>
      <c r="D24">
        <v>231</v>
      </c>
      <c r="E24" s="6">
        <f>D24*0.9</f>
        <v>207.9</v>
      </c>
      <c r="F24" s="6"/>
      <c r="G24" s="2"/>
      <c r="H24" s="2"/>
      <c r="I24" s="2"/>
      <c r="J24" s="6"/>
      <c r="K24" s="6"/>
      <c r="L24" s="6"/>
      <c r="M24" s="19"/>
      <c r="N24" s="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4" t="s">
        <v>205</v>
      </c>
      <c r="B25" s="2" t="s">
        <v>204</v>
      </c>
      <c r="C25">
        <v>5</v>
      </c>
      <c r="D25">
        <v>210</v>
      </c>
      <c r="E25" s="6">
        <f>D25*0.9</f>
        <v>189</v>
      </c>
      <c r="F25" s="6"/>
      <c r="G25" s="2"/>
      <c r="H25" s="2"/>
      <c r="I25" s="2"/>
      <c r="J25" s="6"/>
      <c r="K25" s="6"/>
      <c r="L25" s="6"/>
      <c r="M25" s="19"/>
      <c r="N25" s="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4" t="s">
        <v>205</v>
      </c>
      <c r="B26" s="2" t="s">
        <v>204</v>
      </c>
      <c r="C26">
        <v>6</v>
      </c>
      <c r="D26">
        <v>189</v>
      </c>
      <c r="E26" s="6">
        <f>D26*0.9</f>
        <v>170.1</v>
      </c>
      <c r="F26" s="6"/>
      <c r="G26" s="19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52">
      <c r="A27" s="24" t="s">
        <v>206</v>
      </c>
      <c r="B27" s="2" t="s">
        <v>204</v>
      </c>
      <c r="C27">
        <v>1</v>
      </c>
      <c r="D27">
        <v>430</v>
      </c>
      <c r="E27" s="6">
        <f>D27*0.9</f>
        <v>387</v>
      </c>
      <c r="F27" s="6"/>
      <c r="G27" s="19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52">
      <c r="A28" s="24" t="s">
        <v>206</v>
      </c>
      <c r="B28" s="2" t="s">
        <v>204</v>
      </c>
      <c r="C28">
        <v>2</v>
      </c>
      <c r="D28">
        <v>344</v>
      </c>
      <c r="E28" s="6">
        <f>D28*0.9</f>
        <v>309.60000000000002</v>
      </c>
      <c r="F28" s="6"/>
      <c r="G28" s="19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52">
      <c r="A29" s="24" t="s">
        <v>206</v>
      </c>
      <c r="B29" s="2" t="s">
        <v>204</v>
      </c>
      <c r="C29">
        <v>3</v>
      </c>
      <c r="D29">
        <v>280</v>
      </c>
      <c r="E29" s="6">
        <f>D29*0.9</f>
        <v>252</v>
      </c>
      <c r="F29" s="6"/>
      <c r="G29" s="19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52">
      <c r="A30" s="24" t="s">
        <v>206</v>
      </c>
      <c r="B30" s="2" t="s">
        <v>204</v>
      </c>
      <c r="C30">
        <v>4</v>
      </c>
      <c r="D30">
        <v>237</v>
      </c>
      <c r="E30" s="6">
        <f>D30*0.9</f>
        <v>213.3</v>
      </c>
      <c r="F30" s="6"/>
      <c r="G30" s="19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52">
      <c r="A31" s="24" t="s">
        <v>206</v>
      </c>
      <c r="B31" s="2" t="s">
        <v>204</v>
      </c>
      <c r="C31">
        <v>5</v>
      </c>
      <c r="D31">
        <v>215</v>
      </c>
      <c r="E31" s="6">
        <f>D31*0.9</f>
        <v>193.5</v>
      </c>
      <c r="F31" s="6"/>
      <c r="G31" s="19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52">
      <c r="A32" s="24" t="s">
        <v>206</v>
      </c>
      <c r="B32" s="2" t="s">
        <v>204</v>
      </c>
      <c r="C32">
        <v>6</v>
      </c>
      <c r="D32">
        <v>194</v>
      </c>
      <c r="E32" s="6">
        <f>D32*0.9</f>
        <v>174.6</v>
      </c>
      <c r="F32" s="6"/>
      <c r="G32" s="19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>
      <c r="A33" s="24" t="s">
        <v>207</v>
      </c>
      <c r="B33" s="2" t="s">
        <v>204</v>
      </c>
      <c r="C33">
        <v>1</v>
      </c>
      <c r="D33">
        <v>450</v>
      </c>
      <c r="E33" s="6">
        <f>D33*0.9</f>
        <v>405</v>
      </c>
      <c r="F33" s="6"/>
      <c r="G33" s="19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>
      <c r="A34" s="24" t="s">
        <v>207</v>
      </c>
      <c r="B34" s="2" t="s">
        <v>204</v>
      </c>
      <c r="C34">
        <v>2</v>
      </c>
      <c r="D34">
        <v>360</v>
      </c>
      <c r="E34" s="6">
        <f>D34*0.9</f>
        <v>324</v>
      </c>
      <c r="F34" s="6"/>
      <c r="G34" s="19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>
      <c r="A35" s="24" t="s">
        <v>207</v>
      </c>
      <c r="B35" s="2" t="s">
        <v>204</v>
      </c>
      <c r="C35">
        <v>3</v>
      </c>
      <c r="D35">
        <v>292</v>
      </c>
      <c r="E35" s="6">
        <f>D35*0.9</f>
        <v>262.8</v>
      </c>
      <c r="F35" s="6"/>
      <c r="G35" s="19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>
      <c r="A36" s="24" t="s">
        <v>207</v>
      </c>
      <c r="B36" s="2" t="s">
        <v>204</v>
      </c>
      <c r="C36">
        <v>4</v>
      </c>
      <c r="D36">
        <v>248</v>
      </c>
      <c r="E36" s="6">
        <f>D36*0.9</f>
        <v>223.20000000000002</v>
      </c>
      <c r="F36" s="6"/>
      <c r="G36" s="19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>
      <c r="A37" s="24" t="s">
        <v>207</v>
      </c>
      <c r="B37" s="2" t="s">
        <v>204</v>
      </c>
      <c r="C37">
        <v>5</v>
      </c>
      <c r="D37">
        <v>225</v>
      </c>
      <c r="E37" s="6">
        <f>D37*0.9</f>
        <v>202.5</v>
      </c>
      <c r="F37" s="6"/>
      <c r="G37" s="19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>
      <c r="A38" s="24" t="s">
        <v>207</v>
      </c>
      <c r="B38" s="2" t="s">
        <v>204</v>
      </c>
      <c r="C38">
        <v>6</v>
      </c>
      <c r="D38">
        <v>202</v>
      </c>
      <c r="E38" s="6">
        <f>D38*0.9</f>
        <v>181.8</v>
      </c>
      <c r="F38" s="6"/>
      <c r="G38" s="19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>
      <c r="A39" s="24" t="s">
        <v>208</v>
      </c>
      <c r="B39" s="2" t="s">
        <v>204</v>
      </c>
      <c r="C39">
        <v>1</v>
      </c>
      <c r="D39">
        <v>480</v>
      </c>
      <c r="E39" s="6">
        <f>D39*0.9</f>
        <v>432</v>
      </c>
      <c r="F39" s="6"/>
      <c r="G39" s="19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>
      <c r="A40" s="24" t="s">
        <v>208</v>
      </c>
      <c r="B40" s="2" t="s">
        <v>204</v>
      </c>
      <c r="C40">
        <v>2</v>
      </c>
      <c r="D40">
        <v>384</v>
      </c>
      <c r="E40" s="6">
        <f>D40*0.9</f>
        <v>345.6</v>
      </c>
      <c r="F40" s="6"/>
      <c r="G40" s="19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>
      <c r="A41" s="24" t="s">
        <v>208</v>
      </c>
      <c r="B41" s="2" t="s">
        <v>204</v>
      </c>
      <c r="C41">
        <v>3</v>
      </c>
      <c r="D41">
        <v>312</v>
      </c>
      <c r="E41" s="6">
        <f>D41*0.9</f>
        <v>280.8</v>
      </c>
      <c r="F41" s="6"/>
      <c r="G41" s="19"/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>
      <c r="A42" s="24" t="s">
        <v>208</v>
      </c>
      <c r="B42" s="2" t="s">
        <v>204</v>
      </c>
      <c r="C42">
        <v>4</v>
      </c>
      <c r="D42">
        <v>264</v>
      </c>
      <c r="E42" s="6">
        <f>D42*0.9</f>
        <v>237.6</v>
      </c>
      <c r="F42" s="6"/>
      <c r="G42" s="19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>
      <c r="A43" s="24" t="s">
        <v>208</v>
      </c>
      <c r="B43" s="2" t="s">
        <v>204</v>
      </c>
      <c r="C43">
        <v>5</v>
      </c>
      <c r="D43">
        <v>240</v>
      </c>
      <c r="E43" s="6">
        <f>D43*0.9</f>
        <v>216</v>
      </c>
      <c r="F43" s="6"/>
      <c r="G43" s="19"/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>
      <c r="A44" s="24" t="s">
        <v>208</v>
      </c>
      <c r="B44" s="2" t="s">
        <v>204</v>
      </c>
      <c r="C44">
        <v>6</v>
      </c>
      <c r="D44">
        <v>216</v>
      </c>
      <c r="E44" s="6">
        <f>D44*0.9</f>
        <v>194.4</v>
      </c>
      <c r="F44" s="6"/>
      <c r="G44" s="1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>
      <c r="A45" s="24" t="s">
        <v>209</v>
      </c>
      <c r="B45" s="2" t="s">
        <v>204</v>
      </c>
      <c r="C45">
        <v>1</v>
      </c>
      <c r="D45">
        <v>500</v>
      </c>
      <c r="E45" s="6">
        <f>D45*0.9</f>
        <v>450</v>
      </c>
      <c r="F45" s="6"/>
      <c r="G45" s="19"/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>
      <c r="A46" s="24" t="s">
        <v>209</v>
      </c>
      <c r="B46" s="2" t="s">
        <v>204</v>
      </c>
      <c r="C46">
        <v>2</v>
      </c>
      <c r="D46">
        <v>400</v>
      </c>
      <c r="E46" s="6">
        <f>D46*0.9</f>
        <v>360</v>
      </c>
      <c r="F46" s="6"/>
      <c r="G46" s="19"/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>
      <c r="A47" s="24" t="s">
        <v>209</v>
      </c>
      <c r="B47" s="2" t="s">
        <v>204</v>
      </c>
      <c r="C47">
        <v>3</v>
      </c>
      <c r="D47">
        <v>325</v>
      </c>
      <c r="E47" s="6">
        <f>D47*0.9</f>
        <v>292.5</v>
      </c>
      <c r="F47" s="6"/>
      <c r="G47" s="19"/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48" s="24" t="s">
        <v>209</v>
      </c>
      <c r="B48" s="2" t="s">
        <v>204</v>
      </c>
      <c r="C48">
        <v>4</v>
      </c>
      <c r="D48">
        <v>275</v>
      </c>
      <c r="E48" s="6">
        <f>D48*0.9</f>
        <v>247.5</v>
      </c>
      <c r="F48" s="6"/>
      <c r="G48" s="19"/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>
      <c r="A49" s="24" t="s">
        <v>209</v>
      </c>
      <c r="B49" s="2" t="s">
        <v>204</v>
      </c>
      <c r="C49">
        <v>5</v>
      </c>
      <c r="D49">
        <v>250</v>
      </c>
      <c r="E49" s="6">
        <f>D49*0.9</f>
        <v>225</v>
      </c>
      <c r="F49" s="6"/>
      <c r="G49" s="19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>
      <c r="A50" s="24" t="s">
        <v>209</v>
      </c>
      <c r="B50" s="2" t="s">
        <v>204</v>
      </c>
      <c r="C50">
        <v>6</v>
      </c>
      <c r="D50">
        <v>225</v>
      </c>
      <c r="E50" s="6">
        <f>D50*0.9</f>
        <v>202.5</v>
      </c>
      <c r="F50" s="6"/>
      <c r="G50" s="19"/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>
      <c r="A51" s="24" t="s">
        <v>210</v>
      </c>
      <c r="B51" s="2" t="s">
        <v>204</v>
      </c>
      <c r="C51">
        <v>1</v>
      </c>
      <c r="D51">
        <v>520</v>
      </c>
      <c r="E51" s="6">
        <f>D51*0.9</f>
        <v>468</v>
      </c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>
      <c r="A52" s="24" t="s">
        <v>210</v>
      </c>
      <c r="B52" s="2" t="s">
        <v>204</v>
      </c>
      <c r="C52">
        <v>2</v>
      </c>
      <c r="D52">
        <v>416</v>
      </c>
      <c r="E52" s="6">
        <f>D52*0.9</f>
        <v>374.40000000000003</v>
      </c>
      <c r="F52" s="6"/>
      <c r="H52" s="2" t="s">
        <v>176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>
      <c r="A53" s="24" t="s">
        <v>210</v>
      </c>
      <c r="B53" s="2" t="s">
        <v>204</v>
      </c>
      <c r="C53">
        <v>3</v>
      </c>
      <c r="D53">
        <v>338</v>
      </c>
      <c r="E53" s="6">
        <f>D53*0.9</f>
        <v>304.2</v>
      </c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>
      <c r="A54" s="24" t="s">
        <v>210</v>
      </c>
      <c r="B54" s="2" t="s">
        <v>204</v>
      </c>
      <c r="C54">
        <v>4</v>
      </c>
      <c r="D54">
        <v>286</v>
      </c>
      <c r="E54" s="6">
        <f>D54*0.9</f>
        <v>257.40000000000003</v>
      </c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>
      <c r="A55" s="24" t="s">
        <v>210</v>
      </c>
      <c r="B55" s="2" t="s">
        <v>204</v>
      </c>
      <c r="C55">
        <v>5</v>
      </c>
      <c r="D55">
        <v>260</v>
      </c>
      <c r="E55" s="6">
        <f>D55*0.9</f>
        <v>234</v>
      </c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>
      <c r="A56" s="24" t="s">
        <v>210</v>
      </c>
      <c r="B56" s="2" t="s">
        <v>204</v>
      </c>
      <c r="C56">
        <v>6</v>
      </c>
      <c r="D56">
        <v>234</v>
      </c>
      <c r="E56" s="6">
        <f>D56*0.9</f>
        <v>210.6</v>
      </c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>
      <c r="A57" s="25"/>
      <c r="B57" s="2"/>
      <c r="C57" s="2"/>
      <c r="D57" s="6"/>
      <c r="E57" s="6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5">
      <c r="A59" s="21" t="s">
        <v>23</v>
      </c>
      <c r="B59" s="21"/>
      <c r="C59" s="21"/>
      <c r="D59" s="2"/>
      <c r="E59" s="21" t="s">
        <v>24</v>
      </c>
      <c r="F59" s="2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ht="16">
      <c r="A60" s="1" t="s">
        <v>25</v>
      </c>
      <c r="B60" s="1" t="s">
        <v>26</v>
      </c>
      <c r="C60" s="1" t="s">
        <v>27</v>
      </c>
      <c r="D60" s="2"/>
      <c r="E60" s="1" t="s">
        <v>28</v>
      </c>
      <c r="F60" s="1" t="s">
        <v>29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ht="15">
      <c r="A61" s="2" t="s">
        <v>30</v>
      </c>
      <c r="B61" s="10">
        <v>1</v>
      </c>
      <c r="C61" s="7">
        <v>0.45</v>
      </c>
      <c r="D61" s="2"/>
      <c r="E61" s="23" t="s">
        <v>181</v>
      </c>
      <c r="F61" s="10">
        <v>0.85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ht="15">
      <c r="A62" s="2" t="s">
        <v>31</v>
      </c>
      <c r="B62" s="10">
        <v>1.2</v>
      </c>
      <c r="C62" s="7">
        <v>0.5</v>
      </c>
      <c r="D62" s="2"/>
      <c r="E62" s="23" t="s">
        <v>182</v>
      </c>
      <c r="F62" s="10">
        <v>0.85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ht="15">
      <c r="A63" s="2" t="s">
        <v>32</v>
      </c>
      <c r="B63" s="10">
        <v>1.3</v>
      </c>
      <c r="C63" s="7">
        <v>0.55000000000000004</v>
      </c>
      <c r="D63" s="2"/>
      <c r="E63" s="23" t="s">
        <v>183</v>
      </c>
      <c r="F63" s="10">
        <v>0.85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ht="15">
      <c r="B64" s="2"/>
      <c r="D64" s="17"/>
      <c r="E64" s="23" t="s">
        <v>184</v>
      </c>
      <c r="F64" s="10">
        <v>0.85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ht="15">
      <c r="B65" s="2"/>
      <c r="C65" s="2"/>
      <c r="D65" s="2"/>
      <c r="E65" s="23" t="s">
        <v>185</v>
      </c>
      <c r="F65" s="10">
        <v>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ht="15">
      <c r="B66" s="2"/>
      <c r="C66" s="2"/>
      <c r="D66" s="2"/>
      <c r="E66" s="23" t="s">
        <v>186</v>
      </c>
      <c r="F66" s="10">
        <v>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ht="15">
      <c r="B67" s="2"/>
      <c r="C67" s="2"/>
      <c r="D67" s="2"/>
      <c r="E67" s="23" t="s">
        <v>187</v>
      </c>
      <c r="F67" s="10">
        <v>0.9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ht="15">
      <c r="B68" s="2"/>
      <c r="C68" s="2"/>
      <c r="D68" s="2"/>
      <c r="E68" s="23" t="s">
        <v>188</v>
      </c>
      <c r="F68" s="10">
        <v>0.85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ht="15">
      <c r="B69" s="2"/>
      <c r="C69" s="2"/>
      <c r="D69" s="2"/>
      <c r="E69" s="23" t="s">
        <v>189</v>
      </c>
      <c r="F69" s="10">
        <v>0.9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ht="15">
      <c r="B70" s="2"/>
      <c r="C70" s="2"/>
      <c r="D70" s="2"/>
      <c r="E70" s="23" t="s">
        <v>190</v>
      </c>
      <c r="F70" s="10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ht="15">
      <c r="B71" s="2"/>
      <c r="C71" s="2"/>
      <c r="D71" s="2"/>
      <c r="E71" s="23" t="s">
        <v>191</v>
      </c>
      <c r="F71" s="10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ht="15">
      <c r="B72" s="2"/>
      <c r="C72" s="2"/>
      <c r="D72" s="2"/>
      <c r="E72" s="23" t="s">
        <v>192</v>
      </c>
      <c r="F72" s="10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>
      <c r="B73" s="2"/>
      <c r="C73" s="2"/>
      <c r="D73" s="2"/>
      <c r="E73" s="23" t="s">
        <v>193</v>
      </c>
      <c r="F73" s="10">
        <v>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>
      <c r="B74" s="2"/>
      <c r="C74" s="2"/>
      <c r="D74" s="2"/>
      <c r="E74" s="23" t="s">
        <v>194</v>
      </c>
      <c r="F74" s="10">
        <v>0.9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ht="15">
      <c r="B75" s="2"/>
      <c r="C75" s="2"/>
      <c r="D75" s="2"/>
      <c r="E75" s="23" t="s">
        <v>195</v>
      </c>
      <c r="F75" s="10">
        <v>0.85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5">
      <c r="B76" s="2"/>
      <c r="C76" s="2"/>
      <c r="D76" s="2"/>
      <c r="E76" s="23" t="s">
        <v>196</v>
      </c>
      <c r="F76" s="10">
        <v>0.85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>
      <c r="B77" s="2"/>
      <c r="C77" s="2"/>
      <c r="D77" s="2"/>
      <c r="E77" s="2" t="s">
        <v>34</v>
      </c>
      <c r="F77" s="10">
        <v>1.2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>
      <c r="B78" s="2"/>
      <c r="C78" s="2"/>
      <c r="D78" s="2"/>
      <c r="E78" s="2"/>
      <c r="F78" s="1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ht="15">
      <c r="A80" s="21" t="s">
        <v>35</v>
      </c>
      <c r="B80" s="21"/>
      <c r="C80" s="21"/>
      <c r="D80" s="2"/>
      <c r="E80" s="21" t="s">
        <v>36</v>
      </c>
      <c r="F80" s="2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ht="16">
      <c r="A81" s="1" t="s">
        <v>37</v>
      </c>
      <c r="B81" s="1" t="s">
        <v>38</v>
      </c>
      <c r="C81" s="1" t="s">
        <v>29</v>
      </c>
      <c r="D81" s="2"/>
      <c r="E81" s="1" t="s">
        <v>39</v>
      </c>
      <c r="F81" s="1" t="s">
        <v>29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>
      <c r="A82" s="7" t="s">
        <v>166</v>
      </c>
      <c r="B82" s="6" t="s">
        <v>40</v>
      </c>
      <c r="C82" s="10">
        <v>0.8</v>
      </c>
      <c r="D82" s="2"/>
      <c r="E82" s="2" t="s">
        <v>41</v>
      </c>
      <c r="F82" s="10">
        <v>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>
      <c r="A83" s="7">
        <v>0</v>
      </c>
      <c r="B83" s="6" t="s">
        <v>40</v>
      </c>
      <c r="C83" s="10">
        <v>1</v>
      </c>
      <c r="D83" s="2"/>
      <c r="E83" s="2" t="s">
        <v>43</v>
      </c>
      <c r="F83" s="10">
        <v>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>
      <c r="A84" s="7">
        <v>0.4</v>
      </c>
      <c r="B84" s="6" t="s">
        <v>42</v>
      </c>
      <c r="C84" s="10">
        <v>1</v>
      </c>
      <c r="D84" s="2"/>
      <c r="E84" s="2" t="s">
        <v>45</v>
      </c>
      <c r="F84" s="10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>
      <c r="A85" s="7">
        <v>0.7</v>
      </c>
      <c r="B85" s="6" t="s">
        <v>44</v>
      </c>
      <c r="C85" s="10">
        <v>1</v>
      </c>
      <c r="D85" s="2"/>
      <c r="E85" s="2" t="s">
        <v>167</v>
      </c>
      <c r="F85" s="10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>
      <c r="A86" s="7">
        <v>0.85</v>
      </c>
      <c r="B86" s="6" t="s">
        <v>46</v>
      </c>
      <c r="C86" s="10">
        <v>1</v>
      </c>
      <c r="D86" s="2"/>
      <c r="E86" s="2" t="s">
        <v>48</v>
      </c>
      <c r="F86" s="10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>
      <c r="A87" s="7">
        <v>0.95</v>
      </c>
      <c r="B87" s="6" t="s">
        <v>47</v>
      </c>
      <c r="C87" s="10">
        <v>1</v>
      </c>
      <c r="D87" s="2"/>
      <c r="E87" s="2" t="s">
        <v>197</v>
      </c>
      <c r="F87" s="10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>
      <c r="A88" s="2"/>
      <c r="B88" s="2"/>
      <c r="C88" s="2"/>
      <c r="D88" s="2"/>
      <c r="E88" s="2" t="s">
        <v>198</v>
      </c>
      <c r="F88" s="10">
        <v>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>
      <c r="A89" s="2"/>
      <c r="B89" s="2"/>
      <c r="C89" s="2"/>
      <c r="D89" s="2"/>
      <c r="E89" s="2" t="s">
        <v>199</v>
      </c>
      <c r="F89" s="10"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>
      <c r="A90" s="2"/>
      <c r="B90" s="2"/>
      <c r="C90" s="2"/>
      <c r="D90" s="2"/>
      <c r="E90" s="2" t="s">
        <v>202</v>
      </c>
      <c r="F90" s="10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>
      <c r="A91" s="2"/>
      <c r="B91" s="2"/>
      <c r="C91" s="2"/>
      <c r="D91" s="2"/>
      <c r="E91" s="2" t="s">
        <v>201</v>
      </c>
      <c r="F91" s="10">
        <v>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>
      <c r="A92" s="2"/>
      <c r="B92" s="2"/>
      <c r="C92" s="2"/>
      <c r="D92" s="2"/>
      <c r="E92" s="2" t="s">
        <v>200</v>
      </c>
      <c r="F92" s="10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>
      <c r="A93" s="2"/>
      <c r="B93" s="2"/>
      <c r="C93" s="2"/>
      <c r="D93" s="2"/>
      <c r="E93" s="2" t="s">
        <v>203</v>
      </c>
      <c r="F93" s="10">
        <v>1.1000000000000001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ht="15">
      <c r="A96" s="21" t="s">
        <v>59</v>
      </c>
      <c r="B96" s="21"/>
      <c r="C96" s="2"/>
      <c r="D96" s="21" t="s">
        <v>60</v>
      </c>
      <c r="E96" s="2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ht="16">
      <c r="A97" s="1" t="s">
        <v>61</v>
      </c>
      <c r="B97" s="1" t="s">
        <v>62</v>
      </c>
      <c r="C97" s="2"/>
      <c r="D97" s="1" t="s">
        <v>63</v>
      </c>
      <c r="E97" s="1" t="s">
        <v>62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>
      <c r="A98" s="2" t="s">
        <v>64</v>
      </c>
      <c r="B98" s="6">
        <v>1</v>
      </c>
      <c r="C98" s="2"/>
      <c r="D98" s="2" t="s">
        <v>64</v>
      </c>
      <c r="E98" s="6">
        <v>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>
      <c r="A99" s="2" t="s">
        <v>65</v>
      </c>
      <c r="B99" s="6">
        <v>0</v>
      </c>
      <c r="C99" s="2"/>
      <c r="D99" s="2" t="s">
        <v>65</v>
      </c>
      <c r="E99" s="6">
        <v>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>
      <c r="A100" s="2" t="s">
        <v>66</v>
      </c>
      <c r="B100" s="6">
        <v>-2</v>
      </c>
      <c r="C100" s="2"/>
      <c r="D100" s="2" t="s">
        <v>66</v>
      </c>
      <c r="E100" s="6">
        <v>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ht="15">
      <c r="A102" s="21" t="s">
        <v>67</v>
      </c>
      <c r="B102" s="21"/>
      <c r="C102" s="2"/>
      <c r="D102" s="21" t="s">
        <v>68</v>
      </c>
      <c r="E102" s="2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ht="16">
      <c r="A103" s="1" t="s">
        <v>69</v>
      </c>
      <c r="B103" s="1" t="s">
        <v>62</v>
      </c>
      <c r="C103" s="2"/>
      <c r="D103" s="1" t="s">
        <v>70</v>
      </c>
      <c r="E103" s="1" t="s">
        <v>62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>
      <c r="A104" s="2" t="s">
        <v>71</v>
      </c>
      <c r="B104" s="6">
        <v>-1</v>
      </c>
      <c r="C104" s="2"/>
      <c r="D104" s="2" t="s">
        <v>72</v>
      </c>
      <c r="E104" s="6">
        <v>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>
      <c r="A105" s="2" t="s">
        <v>73</v>
      </c>
      <c r="B105" s="6">
        <v>0</v>
      </c>
      <c r="C105" s="2"/>
      <c r="D105" s="2" t="s">
        <v>74</v>
      </c>
      <c r="E105" s="6">
        <v>2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>
      <c r="A106" s="2" t="s">
        <v>75</v>
      </c>
      <c r="B106" s="6">
        <v>1</v>
      </c>
      <c r="C106" s="2"/>
      <c r="D106" s="2" t="s">
        <v>65</v>
      </c>
      <c r="E106" s="6">
        <v>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>
      <c r="A107" s="2" t="s">
        <v>76</v>
      </c>
      <c r="B107" s="6">
        <v>2</v>
      </c>
      <c r="C107" s="2"/>
      <c r="D107" s="2" t="s">
        <v>77</v>
      </c>
      <c r="E107" s="6">
        <v>-2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>
      <c r="A108" s="2" t="s">
        <v>78</v>
      </c>
      <c r="B108" s="6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>
      <c r="A109" s="2" t="s">
        <v>165</v>
      </c>
      <c r="B109" s="6">
        <v>-4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>
      <c r="A217" s="2"/>
      <c r="B217" s="2"/>
      <c r="C217" s="2"/>
      <c r="D217" s="2"/>
      <c r="E217" s="2"/>
      <c r="F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>
      <c r="A218" s="2"/>
      <c r="B218" s="2"/>
      <c r="C218" s="2"/>
      <c r="D218" s="2"/>
      <c r="E218" s="2"/>
      <c r="F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>
      <c r="A219" s="2"/>
      <c r="B219" s="2"/>
      <c r="C219" s="2"/>
      <c r="D219" s="2"/>
      <c r="E219" s="2"/>
      <c r="F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>
      <c r="A220" s="2"/>
      <c r="B220" s="2"/>
      <c r="C220" s="2"/>
      <c r="D220" s="2"/>
      <c r="E220" s="2"/>
      <c r="F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>
      <c r="A221" s="2"/>
      <c r="B221" s="2"/>
      <c r="C221" s="2"/>
      <c r="D221" s="2"/>
      <c r="E221" s="2"/>
      <c r="F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>
      <c r="A222" s="2"/>
      <c r="B222" s="2"/>
      <c r="C222" s="2"/>
      <c r="D222" s="2"/>
      <c r="E222" s="2"/>
      <c r="F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>
      <c r="A223" s="2"/>
      <c r="B223" s="2"/>
      <c r="C223" s="2"/>
      <c r="D223" s="2"/>
      <c r="E223" s="2"/>
      <c r="F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>
      <c r="A224" s="2"/>
      <c r="B224" s="2"/>
      <c r="C224" s="2"/>
      <c r="D224" s="2"/>
      <c r="E224" s="2"/>
      <c r="F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>
      <c r="A225" s="2"/>
      <c r="B225" s="2"/>
      <c r="C225" s="2"/>
      <c r="D225" s="2"/>
      <c r="E225" s="2"/>
      <c r="F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>
      <c r="A226" s="2"/>
      <c r="B226" s="2"/>
      <c r="C226" s="2"/>
      <c r="D226" s="2"/>
      <c r="E226" s="2"/>
      <c r="F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>
      <c r="A227" s="2"/>
      <c r="B227" s="2"/>
      <c r="C227" s="2"/>
      <c r="D227" s="2"/>
      <c r="E227" s="2"/>
      <c r="F227" s="2"/>
    </row>
    <row r="228" spans="1:46">
      <c r="A228" s="2"/>
      <c r="B228" s="2"/>
      <c r="C228" s="2"/>
      <c r="D228" s="2"/>
      <c r="E228" s="2"/>
      <c r="F228" s="2"/>
    </row>
    <row r="229" spans="1:46">
      <c r="A229" s="2"/>
      <c r="B229" s="2"/>
      <c r="C229" s="2"/>
      <c r="D229" s="2"/>
      <c r="E229" s="2"/>
      <c r="F229" s="2"/>
    </row>
    <row r="230" spans="1:46">
      <c r="A230" s="2"/>
      <c r="B230" s="2"/>
      <c r="C230" s="2"/>
      <c r="D230" s="2"/>
      <c r="E230" s="2"/>
      <c r="F230" s="2"/>
    </row>
    <row r="231" spans="1:46">
      <c r="A231" s="2"/>
      <c r="B231" s="2"/>
      <c r="C231" s="2"/>
      <c r="D231" s="2"/>
      <c r="E231" s="2"/>
      <c r="F231" s="2"/>
    </row>
    <row r="232" spans="1:46">
      <c r="A232" s="2"/>
      <c r="B232" s="2"/>
      <c r="C232" s="2"/>
      <c r="D232" s="2"/>
      <c r="E232" s="2"/>
      <c r="F232" s="2"/>
    </row>
    <row r="233" spans="1:46">
      <c r="A233" s="2"/>
      <c r="B233" s="2"/>
      <c r="C233" s="2"/>
      <c r="D233" s="2"/>
      <c r="E233" s="2"/>
      <c r="F233" s="2"/>
    </row>
    <row r="234" spans="1:46">
      <c r="A234" s="2"/>
      <c r="B234" s="2"/>
      <c r="C234" s="2"/>
      <c r="D234" s="2"/>
      <c r="E234" s="2"/>
      <c r="F234" s="2"/>
    </row>
    <row r="235" spans="1:46">
      <c r="A235" s="2"/>
      <c r="B235" s="2"/>
      <c r="C235" s="2"/>
      <c r="D235" s="2"/>
      <c r="E235" s="2"/>
      <c r="F235" s="2"/>
    </row>
    <row r="236" spans="1:46">
      <c r="A236" s="2"/>
      <c r="B236" s="2"/>
      <c r="C236" s="2"/>
      <c r="D236" s="2"/>
      <c r="E236" s="2"/>
      <c r="F236" s="2"/>
    </row>
    <row r="237" spans="1:46">
      <c r="A237" s="2"/>
      <c r="B237" s="2"/>
      <c r="C237" s="2"/>
      <c r="D237" s="2"/>
      <c r="E237" s="2"/>
      <c r="F237" s="2"/>
    </row>
    <row r="238" spans="1:46">
      <c r="A238" s="2"/>
      <c r="B238" s="2"/>
      <c r="C238" s="2"/>
      <c r="D238" s="2"/>
      <c r="E238" s="2"/>
      <c r="F238" s="2"/>
    </row>
    <row r="239" spans="1:46">
      <c r="A239" s="2"/>
      <c r="B239" s="2"/>
      <c r="C239" s="2"/>
      <c r="D239" s="2"/>
      <c r="E239" s="2"/>
      <c r="F239" s="2"/>
    </row>
    <row r="240" spans="1:4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</sheetData>
  <mergeCells count="10">
    <mergeCell ref="A96:B96"/>
    <mergeCell ref="D96:E96"/>
    <mergeCell ref="A102:B102"/>
    <mergeCell ref="D102:E102"/>
    <mergeCell ref="A1:H1"/>
    <mergeCell ref="A10:H10"/>
    <mergeCell ref="A59:C59"/>
    <mergeCell ref="E59:F59"/>
    <mergeCell ref="A80:C80"/>
    <mergeCell ref="E80:F80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04"/>
  <sheetViews>
    <sheetView topLeftCell="A14" workbookViewId="0">
      <selection activeCell="G22" sqref="G22"/>
    </sheetView>
  </sheetViews>
  <sheetFormatPr baseColWidth="10" defaultColWidth="8.83203125" defaultRowHeight="14"/>
  <cols>
    <col min="1" max="1" width="28" customWidth="1"/>
    <col min="2" max="2" width="18" customWidth="1"/>
    <col min="3" max="3" width="42" customWidth="1"/>
    <col min="7" max="7" width="20" customWidth="1"/>
    <col min="8" max="11" width="18" customWidth="1"/>
  </cols>
  <sheetData>
    <row r="1" spans="1:46" ht="42.75" customHeight="1">
      <c r="A1" s="22" t="s">
        <v>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6">
      <c r="A3" s="1" t="s">
        <v>96</v>
      </c>
      <c r="B3" s="1" t="s">
        <v>97</v>
      </c>
      <c r="C3" s="1" t="s">
        <v>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6">
      <c r="A4" s="3" t="s">
        <v>99</v>
      </c>
      <c r="B4" s="16">
        <f>COUNTA(#REF!)</f>
        <v>1</v>
      </c>
      <c r="C4" s="4" t="s">
        <v>100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6">
      <c r="A5" s="3" t="s">
        <v>101</v>
      </c>
      <c r="B5" s="16" t="e">
        <f>COUNTIFS(#REF!,"&lt;&gt;",#REF!,"&lt;&gt;No reply")-COUNTIF(#REF!,"Lost")</f>
        <v>#REF!</v>
      </c>
      <c r="C5" s="4" t="s">
        <v>102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16">
      <c r="A6" s="3" t="s">
        <v>103</v>
      </c>
      <c r="B6" s="16" t="e">
        <f>COUNTIF(#REF!,"Trial booked")+COUNTIF(#REF!,"Trial attended")+COUNTIF(#REF!,"Enrolled")</f>
        <v>#REF!</v>
      </c>
      <c r="C6" s="4" t="s">
        <v>104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6">
      <c r="A7" s="3" t="s">
        <v>105</v>
      </c>
      <c r="B7" s="16" t="e">
        <f>COUNTIF(#REF!,"Trial attended")+COUNTIF(#REF!,"Enrolled")</f>
        <v>#REF!</v>
      </c>
      <c r="C7" s="4" t="s">
        <v>104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6">
      <c r="A8" s="3" t="s">
        <v>78</v>
      </c>
      <c r="B8" s="16" t="e">
        <f>COUNTIF(#REF!,"Enrolled")</f>
        <v>#REF!</v>
      </c>
      <c r="C8" s="4" t="s">
        <v>106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6">
      <c r="A9" s="3" t="s">
        <v>79</v>
      </c>
      <c r="B9" s="16" t="e">
        <f>COUNTIF(#REF!,"Lost")</f>
        <v>#REF!</v>
      </c>
      <c r="C9" s="4" t="s">
        <v>107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32">
      <c r="A10" s="3" t="s">
        <v>108</v>
      </c>
      <c r="B10" s="12" t="e">
        <f>IF(B4=0,"",B8/B4)</f>
        <v>#REF!</v>
      </c>
      <c r="C10" s="4" t="s">
        <v>109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6">
      <c r="A11" s="3" t="s">
        <v>110</v>
      </c>
      <c r="B11" s="11" t="e">
        <f>AVERAGEIF(#REF!,"&gt;0",#REF!)</f>
        <v>#REF!</v>
      </c>
      <c r="C11" s="4" t="s">
        <v>111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ht="16">
      <c r="A12" s="3" t="s">
        <v>112</v>
      </c>
      <c r="B12" s="11" t="e">
        <f>SUM(#REF!)</f>
        <v>#REF!</v>
      </c>
      <c r="C12" s="4" t="s">
        <v>113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16">
      <c r="A13" s="3" t="s">
        <v>114</v>
      </c>
      <c r="B13" s="11" t="e">
        <f>SUM(#REF!)</f>
        <v>#REF!</v>
      </c>
      <c r="C13" s="4" t="s">
        <v>115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6">
      <c r="A14" s="3" t="s">
        <v>116</v>
      </c>
      <c r="B14" s="12" t="e">
        <f>IF(B4=0,"",COUNTIF(#REF!,"Brand / Organic")/B4)</f>
        <v>#REF!</v>
      </c>
      <c r="C14" s="4" t="s">
        <v>117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64">
      <c r="A16" s="1" t="s">
        <v>50</v>
      </c>
      <c r="B16" s="1" t="s">
        <v>118</v>
      </c>
      <c r="C16" s="1" t="s">
        <v>93</v>
      </c>
      <c r="D16" s="1" t="s">
        <v>78</v>
      </c>
      <c r="E16" s="1" t="s">
        <v>119</v>
      </c>
      <c r="F16" s="2"/>
      <c r="G16" s="1" t="s">
        <v>9</v>
      </c>
      <c r="H16" s="1" t="s">
        <v>118</v>
      </c>
      <c r="I16" s="1" t="s">
        <v>93</v>
      </c>
      <c r="J16" s="1" t="s">
        <v>78</v>
      </c>
      <c r="K16" s="1" t="s">
        <v>119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>
      <c r="A17" s="2" t="s">
        <v>179</v>
      </c>
      <c r="B17" s="13" t="e">
        <f>COUNTIF(#REF!,A17)</f>
        <v>#REF!</v>
      </c>
      <c r="C17" s="2" t="e">
        <f>SUMIF(#REF!,A17,#REF!)</f>
        <v>#REF!</v>
      </c>
      <c r="D17" s="13" t="e">
        <f>COUNTIFS(#REF!,A17,#REF!,"Enrolled")</f>
        <v>#REF!</v>
      </c>
      <c r="E17" s="2" t="str">
        <f>IFERROR(AVERAGEIFS(#REF!,#REF!,A17,#REF!,"&gt;0"),"")</f>
        <v/>
      </c>
      <c r="F17" s="2"/>
      <c r="G17" s="2" t="s">
        <v>14</v>
      </c>
      <c r="H17" s="13" t="e">
        <f>COUNTIF(#REF!,G17)</f>
        <v>#REF!</v>
      </c>
      <c r="I17" s="2" t="e">
        <f>SUMIF(#REF!,G17,#REF!)</f>
        <v>#REF!</v>
      </c>
      <c r="J17" s="13" t="e">
        <f>COUNTIFS(#REF!,G17,#REF!,"Enrolled")</f>
        <v>#REF!</v>
      </c>
      <c r="K17" s="2" t="str">
        <f>IFERROR(AVERAGEIFS(#REF!,#REF!,G17,#REF!,"&gt;0"),"")</f>
        <v/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>
      <c r="A18" s="2" t="s">
        <v>56</v>
      </c>
      <c r="B18" s="13" t="e">
        <f>COUNTIF(#REF!,A18)</f>
        <v>#REF!</v>
      </c>
      <c r="C18" s="2" t="e">
        <f>SUMIF(#REF!,A18,#REF!)</f>
        <v>#REF!</v>
      </c>
      <c r="D18" s="13" t="e">
        <f>COUNTIFS(#REF!,A18,#REF!,"Enrolled")</f>
        <v>#REF!</v>
      </c>
      <c r="E18" s="2" t="str">
        <f>IFERROR(AVERAGEIFS(#REF!,#REF!,#REF!,#REF!,"&gt;0"),"")</f>
        <v/>
      </c>
      <c r="F18" s="2"/>
      <c r="G18" s="2" t="s">
        <v>19</v>
      </c>
      <c r="H18" s="13" t="e">
        <f>COUNTIF(#REF!,G18)</f>
        <v>#REF!</v>
      </c>
      <c r="I18" s="2" t="e">
        <f>SUMIF(#REF!,G18,#REF!)</f>
        <v>#REF!</v>
      </c>
      <c r="J18" s="13" t="e">
        <f>COUNTIFS(#REF!,G18,#REF!,"Enrolled")</f>
        <v>#REF!</v>
      </c>
      <c r="K18" s="2" t="str">
        <f>IFERROR(AVERAGEIFS(#REF!,#REF!,G18,#REF!,"&gt;0"),"")</f>
        <v/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>
      <c r="A19" s="2" t="s">
        <v>57</v>
      </c>
      <c r="B19" s="13" t="e">
        <f>COUNTIF(#REF!,A19)</f>
        <v>#REF!</v>
      </c>
      <c r="C19" s="2" t="e">
        <f>SUMIF(#REF!,A19,#REF!)</f>
        <v>#REF!</v>
      </c>
      <c r="D19" s="13" t="e">
        <f>COUNTIFS(#REF!,A19,#REF!,"Enrolled")</f>
        <v>#REF!</v>
      </c>
      <c r="E19" s="2" t="str">
        <f>IFERROR(AVERAGEIFS(#REF!,#REF!,A18,#REF!,"&gt;0"),"")</f>
        <v/>
      </c>
      <c r="F19" s="2"/>
      <c r="G19" s="2" t="s">
        <v>22</v>
      </c>
      <c r="H19" s="13" t="e">
        <f>COUNTIF(#REF!,G19)</f>
        <v>#REF!</v>
      </c>
      <c r="I19" s="2" t="e">
        <f>SUMIF(#REF!,G19,#REF!)</f>
        <v>#REF!</v>
      </c>
      <c r="J19" s="13" t="e">
        <f>COUNTIFS(#REF!,G19,#REF!,"Enrolled")</f>
        <v>#REF!</v>
      </c>
      <c r="K19" s="2" t="str">
        <f>IFERROR(AVERAGEIFS(#REF!,#REF!,G19,#REF!,"&gt;0"),"")</f>
        <v/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>
      <c r="A20" s="2" t="s">
        <v>58</v>
      </c>
      <c r="B20" s="13" t="e">
        <f>COUNTIF(#REF!,A20)</f>
        <v>#REF!</v>
      </c>
      <c r="C20" s="2" t="e">
        <f>SUMIF(#REF!,A20,#REF!)</f>
        <v>#REF!</v>
      </c>
      <c r="D20" s="13" t="e">
        <f>COUNTIFS(#REF!,A20,#REF!,"Enrolled")</f>
        <v>#REF!</v>
      </c>
      <c r="E20" s="2" t="str">
        <f>IFERROR(AVERAGEIFS(#REF!,#REF!,A19,#REF!,"&gt;0"),"")</f>
        <v/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>
      <c r="A21" s="2" t="s">
        <v>49</v>
      </c>
      <c r="B21" s="13" t="e">
        <f>COUNTIF(#REF!,A21)</f>
        <v>#REF!</v>
      </c>
      <c r="C21" s="2" t="e">
        <f>SUMIF(#REF!,A21,#REF!)</f>
        <v>#REF!</v>
      </c>
      <c r="D21" s="13" t="e">
        <f>COUNTIFS(#REF!,A21,#REF!,"Enrolled")</f>
        <v>#REF!</v>
      </c>
      <c r="E21" s="2" t="str">
        <f>IFERROR(AVERAGEIFS(#REF!,#REF!,A20,#REF!,"&gt;0"),"")</f>
        <v/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>
      <c r="E22" s="2" t="str">
        <f>IFERROR(AVERAGEIFS(#REF!,#REF!,#REF!,#REF!,"&gt;0"),"")</f>
        <v/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>
      <c r="A23" s="2"/>
      <c r="B23" s="13"/>
      <c r="C23" s="2"/>
      <c r="D23" s="13"/>
      <c r="E23" s="2" t="str">
        <f>IFERROR(AVERAGEIFS(#REF!,#REF!,A23,#REF!,"&gt;0"),"")</f>
        <v/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>
      <c r="E24" s="2" t="str">
        <f>IFERROR(AVERAGEIFS(#REF!,#REF!,A21,#REF!,"&gt;0"),"")</f>
        <v/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204"/>
  <sheetViews>
    <sheetView workbookViewId="0">
      <selection activeCell="F13" sqref="F13"/>
    </sheetView>
  </sheetViews>
  <sheetFormatPr baseColWidth="10" defaultColWidth="8.83203125" defaultRowHeight="14"/>
  <cols>
    <col min="1" max="1" width="26" customWidth="1"/>
    <col min="2" max="2" width="22" customWidth="1"/>
    <col min="3" max="3" width="32" customWidth="1"/>
    <col min="5" max="5" width="28" customWidth="1"/>
    <col min="6" max="6" width="22" customWidth="1"/>
    <col min="7" max="8" width="34" customWidth="1"/>
  </cols>
  <sheetData>
    <row r="1" spans="1:46" ht="42.75" customHeight="1">
      <c r="A1" s="22" t="s">
        <v>120</v>
      </c>
      <c r="B1" s="22"/>
      <c r="C1" s="22"/>
      <c r="D1" s="22"/>
      <c r="E1" s="22"/>
      <c r="F1" s="22"/>
      <c r="G1" s="22"/>
      <c r="H1" s="2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6">
      <c r="A3" s="1" t="s">
        <v>121</v>
      </c>
      <c r="B3" s="1" t="s">
        <v>97</v>
      </c>
      <c r="C3" s="1" t="s">
        <v>122</v>
      </c>
      <c r="D3" s="2"/>
      <c r="E3" s="1" t="s">
        <v>123</v>
      </c>
      <c r="F3" s="1" t="s">
        <v>124</v>
      </c>
      <c r="G3" s="1" t="s">
        <v>125</v>
      </c>
      <c r="H3" s="1" t="s">
        <v>126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6">
      <c r="A4" s="3" t="s">
        <v>9</v>
      </c>
      <c r="B4" s="6" t="s">
        <v>19</v>
      </c>
      <c r="C4" s="4" t="s">
        <v>127</v>
      </c>
      <c r="D4" s="2"/>
      <c r="E4" s="3" t="s">
        <v>128</v>
      </c>
      <c r="F4" s="12">
        <f>IFERROR(B14/B15,"")</f>
        <v>0.75</v>
      </c>
      <c r="G4" s="4" t="s">
        <v>129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6">
      <c r="A5" s="3" t="s">
        <v>39</v>
      </c>
      <c r="B5" s="6" t="s">
        <v>43</v>
      </c>
      <c r="C5" s="4" t="s">
        <v>127</v>
      </c>
      <c r="D5" s="2"/>
      <c r="E5" s="3" t="s">
        <v>84</v>
      </c>
      <c r="F5" s="11">
        <f>SUMIFS(Assumptions!$D$12:$D$57,Assumptions!$B$12:$B$57,B4,Assumptions!$C$12:$C$57,B6)</f>
        <v>1080</v>
      </c>
      <c r="G5" s="4" t="s">
        <v>130</v>
      </c>
      <c r="H5" s="4" t="s">
        <v>131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16">
      <c r="A6" s="3" t="s">
        <v>10</v>
      </c>
      <c r="B6" s="6" t="s">
        <v>17</v>
      </c>
      <c r="C6" s="4" t="s">
        <v>127</v>
      </c>
      <c r="D6" s="2"/>
      <c r="E6" s="3" t="s">
        <v>12</v>
      </c>
      <c r="F6" s="11">
        <f>SUMIFS(Assumptions!$E$12:$E$57,Assumptions!$B$12:$B$57,B4,Assumptions!$C$12:$C$57,B6)</f>
        <v>972</v>
      </c>
      <c r="G6" s="4" t="s">
        <v>132</v>
      </c>
      <c r="H6" s="4" t="s">
        <v>131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6">
      <c r="A7" s="3" t="s">
        <v>25</v>
      </c>
      <c r="B7" s="6" t="s">
        <v>32</v>
      </c>
      <c r="C7" s="4" t="s">
        <v>127</v>
      </c>
      <c r="D7" s="2"/>
      <c r="E7" s="3" t="s">
        <v>13</v>
      </c>
      <c r="F7" s="11">
        <f>SUMIFS(Assumptions!$F$12:$F$57,Assumptions!$B$12:$B$57,B4,Assumptions!$C$12:$C$57,B6)</f>
        <v>0</v>
      </c>
      <c r="G7" s="4" t="s">
        <v>132</v>
      </c>
      <c r="H7" s="4" t="s">
        <v>131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6">
      <c r="A8" s="3" t="s">
        <v>28</v>
      </c>
      <c r="B8" s="6" t="s">
        <v>33</v>
      </c>
      <c r="C8" s="4" t="s">
        <v>127</v>
      </c>
      <c r="D8" s="2"/>
      <c r="E8" s="3" t="s">
        <v>85</v>
      </c>
      <c r="F8" s="14">
        <f>IFERROR(SUMIF(Assumptions!$A$61:$A$64,B7,Assumptions!$B$61:$B$64),1)</f>
        <v>1.3</v>
      </c>
      <c r="G8" s="4" t="s">
        <v>133</v>
      </c>
      <c r="H8" s="4" t="s">
        <v>134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6">
      <c r="A9" s="3" t="s">
        <v>50</v>
      </c>
      <c r="B9" s="6" t="s">
        <v>57</v>
      </c>
      <c r="C9" s="4" t="s">
        <v>127</v>
      </c>
      <c r="D9" s="2"/>
      <c r="E9" s="3" t="s">
        <v>86</v>
      </c>
      <c r="F9" s="14">
        <f>IFERROR(SUMIF(Assumptions!$E$61:$E$78,B8,Assumptions!$F$61:$F$78),1)</f>
        <v>0</v>
      </c>
      <c r="G9" s="4" t="s">
        <v>135</v>
      </c>
      <c r="H9" s="4" t="s">
        <v>136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16">
      <c r="A10" s="3" t="s">
        <v>61</v>
      </c>
      <c r="B10" s="6" t="s">
        <v>65</v>
      </c>
      <c r="C10" s="4" t="s">
        <v>127</v>
      </c>
      <c r="D10" s="2"/>
      <c r="E10" s="3" t="s">
        <v>35</v>
      </c>
      <c r="F10" s="14">
        <f>IFERROR(LOOKUP(F4,Assumptions!$A$83:$A$87,Assumptions!$C$83:$C$87),1)</f>
        <v>1</v>
      </c>
      <c r="G10" s="4" t="s">
        <v>137</v>
      </c>
      <c r="H10" s="4" t="s">
        <v>138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6">
      <c r="A11" s="3" t="s">
        <v>63</v>
      </c>
      <c r="B11" s="6" t="s">
        <v>66</v>
      </c>
      <c r="C11" s="4" t="s">
        <v>127</v>
      </c>
      <c r="D11" s="2"/>
      <c r="E11" s="3" t="s">
        <v>87</v>
      </c>
      <c r="F11" s="14">
        <f>IFERROR(SUMIF(Assumptions!$E$82:$E$94,B5,Assumptions!$F$82:$F$94),1)</f>
        <v>1</v>
      </c>
      <c r="G11" s="4" t="s">
        <v>139</v>
      </c>
      <c r="H11" s="4" t="s">
        <v>140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ht="16">
      <c r="A12" s="3" t="s">
        <v>69</v>
      </c>
      <c r="B12" s="6" t="s">
        <v>73</v>
      </c>
      <c r="C12" s="4" t="s">
        <v>127</v>
      </c>
      <c r="D12" s="2"/>
      <c r="E12" s="3" t="s">
        <v>88</v>
      </c>
      <c r="F12" s="11">
        <f>IFERROR(SUMIF(Assumptions!#REF!,B9,Assumptions!#REF!),0)+IFERROR(SUMIF(Assumptions!$A$98:$A$100,B10,Assumptions!$B$98:$B$100),0)+IFERROR(SUMIF(Assumptions!$D$98:$D$100,B11,Assumptions!$E$98:$E$100),0)+IFERROR(SUMIF(Assumptions!$A$104:$A$109,B12,Assumptions!$B$104:$B$109),0)+IFERROR(SUMIF(Assumptions!$D$104:$D$107,B13,Assumptions!$E$104:$E$107),0)</f>
        <v>2</v>
      </c>
      <c r="G12" s="4" t="s">
        <v>141</v>
      </c>
      <c r="H12" s="4" t="s">
        <v>142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16">
      <c r="A13" s="3" t="s">
        <v>70</v>
      </c>
      <c r="B13" s="6" t="s">
        <v>72</v>
      </c>
      <c r="C13" s="4" t="s">
        <v>127</v>
      </c>
      <c r="D13" s="2"/>
      <c r="E13" s="3" t="s">
        <v>89</v>
      </c>
      <c r="F13" s="11">
        <f>IF(B17&lt;&gt;"",B17,IF(F5=0,"",ROUND(MAX(F6,MIN(F7,F5*F8*F9*F10*F11*(1+F12*Assumptions!$B$4)))/10,0)*10))</f>
        <v>970</v>
      </c>
      <c r="G13" s="4" t="s">
        <v>143</v>
      </c>
      <c r="H13" s="4" t="s">
        <v>144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6">
      <c r="A14" s="3" t="s">
        <v>80</v>
      </c>
      <c r="B14" s="6">
        <v>6</v>
      </c>
      <c r="C14" s="4" t="s">
        <v>145</v>
      </c>
      <c r="D14" s="2"/>
      <c r="E14" s="3" t="s">
        <v>90</v>
      </c>
      <c r="F14" s="11" t="str">
        <f>IF(AND(B10="High",F4&lt;0.7),"Paid trial + deduct on enrolment",IF(AND(B11="High",F4&gt;=0.7),"Senior/intensive package; no hourly discount",IF(B9="Referral","Academic Mentor + standard package",IF(F4&lt;0.4,"Non-peak/group starter package","Standard package + mentor review"))))</f>
        <v>Senior/intensive package; no hourly discount</v>
      </c>
      <c r="G14" s="4" t="s">
        <v>146</v>
      </c>
      <c r="H14" s="4" t="s">
        <v>147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t="16">
      <c r="A15" s="3" t="s">
        <v>81</v>
      </c>
      <c r="B15" s="6">
        <v>8</v>
      </c>
      <c r="C15" s="4" t="s">
        <v>148</v>
      </c>
      <c r="D15" s="2"/>
      <c r="E15" s="3" t="s">
        <v>91</v>
      </c>
      <c r="F15" s="11">
        <f>IF(B12="Enrolled",1,IF(B12="Lost",0,IF(B12="Trial attended",F26,IF(B12="Trial booked",F25*F26,IF(B12="Replied",F24*F25*F26,F23*F24*F25*F26)))))</f>
        <v>0</v>
      </c>
      <c r="G15" s="4" t="s">
        <v>149</v>
      </c>
      <c r="H15" s="4" t="s">
        <v>150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16">
      <c r="A16" s="3" t="s">
        <v>82</v>
      </c>
      <c r="B16" s="6"/>
      <c r="C16" s="4" t="s">
        <v>151</v>
      </c>
      <c r="D16" s="2"/>
      <c r="E16" s="3" t="s">
        <v>55</v>
      </c>
      <c r="F16" s="12">
        <f>MAX(0,MIN(Assumptions!$B$6,IFERROR(SUMIF(Assumptions!#REF!,B9,Assumptions!#REF!),0.75)+IF(B13="Strong",0.05,IF(B13="Weak",-0.1,0))+IF(B10="High",-0.05,0)+IF(B9="Referral",0.03,0)))</f>
        <v>0.78</v>
      </c>
      <c r="G16" s="4" t="s">
        <v>152</v>
      </c>
      <c r="H16" s="4" t="s">
        <v>153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16">
      <c r="A17" s="3" t="s">
        <v>83</v>
      </c>
      <c r="B17" s="6"/>
      <c r="C17" s="4" t="s">
        <v>154</v>
      </c>
      <c r="D17" s="2"/>
      <c r="E17" s="3" t="s">
        <v>92</v>
      </c>
      <c r="F17" s="12" t="e">
        <f>IF(B16&lt;&gt;"",B16,SUMIFS(Assumptions!$G$12:$G$50,Assumptions!$B$12:$B$57,B4,Assumptions!$C$12:$C$57,B6))</f>
        <v>#VALUE!</v>
      </c>
      <c r="G17" s="4" t="s">
        <v>155</v>
      </c>
      <c r="H17" s="4" t="s">
        <v>131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16">
      <c r="A18" s="2"/>
      <c r="B18" s="2"/>
      <c r="C18" s="2"/>
      <c r="D18" s="2"/>
      <c r="E18" s="3" t="s">
        <v>93</v>
      </c>
      <c r="F18" s="11" t="e">
        <f>F13*F15*F16*F17</f>
        <v>#VALUE!</v>
      </c>
      <c r="G18" s="4" t="s">
        <v>156</v>
      </c>
      <c r="H18" s="4" t="s"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ht="16">
      <c r="A19" s="2"/>
      <c r="B19" s="2"/>
      <c r="C19" s="2"/>
      <c r="D19" s="2"/>
      <c r="E19" s="3" t="s">
        <v>27</v>
      </c>
      <c r="F19" s="12">
        <f>IFERROR(SUMIF(Assumptions!$A$61:$A$64,B7,Assumptions!$C$61:$C$64),0.5)</f>
        <v>0.55000000000000004</v>
      </c>
      <c r="G19" s="4" t="s">
        <v>157</v>
      </c>
      <c r="H19" s="4" t="s">
        <v>158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ht="16">
      <c r="A20" s="2"/>
      <c r="B20" s="2"/>
      <c r="C20" s="2"/>
      <c r="D20" s="2"/>
      <c r="E20" s="3" t="s">
        <v>94</v>
      </c>
      <c r="F20" s="11" t="e">
        <f>F18*(1-F19)</f>
        <v>#VALUE!</v>
      </c>
      <c r="G20" s="4" t="s">
        <v>159</v>
      </c>
      <c r="H20" s="4" t="s">
        <v>160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 ht="16">
      <c r="A22" s="2"/>
      <c r="B22" s="2"/>
      <c r="C22" s="2"/>
      <c r="D22" s="2"/>
      <c r="E22" s="1" t="s">
        <v>161</v>
      </c>
      <c r="F22" s="1" t="s">
        <v>97</v>
      </c>
      <c r="G22" s="1" t="s">
        <v>162</v>
      </c>
      <c r="H22" s="1" t="s">
        <v>50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ht="15">
      <c r="A23" s="2"/>
      <c r="B23" s="2"/>
      <c r="C23" s="2"/>
      <c r="D23" s="2"/>
      <c r="E23" s="15" t="s">
        <v>51</v>
      </c>
      <c r="F23" s="12">
        <f>IFERROR(SUMIF(Assumptions!#REF!,B9,Assumptions!#REF!),0)</f>
        <v>0</v>
      </c>
      <c r="G23" s="4" t="s">
        <v>163</v>
      </c>
      <c r="H23" s="4" t="s">
        <v>164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5">
      <c r="A24" s="2"/>
      <c r="B24" s="2"/>
      <c r="C24" s="2"/>
      <c r="D24" s="2"/>
      <c r="E24" s="15" t="s">
        <v>52</v>
      </c>
      <c r="F24" s="12">
        <f>IFERROR(SUMIF(Assumptions!#REF!,B9,Assumptions!#REF!),0)</f>
        <v>0</v>
      </c>
      <c r="G24" s="4" t="s">
        <v>163</v>
      </c>
      <c r="H24" s="4" t="s">
        <v>164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5">
      <c r="A25" s="2"/>
      <c r="B25" s="2"/>
      <c r="C25" s="2"/>
      <c r="D25" s="2"/>
      <c r="E25" s="15" t="s">
        <v>53</v>
      </c>
      <c r="F25" s="12">
        <f>IFERROR(SUMIF(Assumptions!#REF!,B9,Assumptions!#REF!),0)</f>
        <v>0</v>
      </c>
      <c r="G25" s="4" t="s">
        <v>163</v>
      </c>
      <c r="H25" s="4" t="s">
        <v>164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5">
      <c r="A26" s="2"/>
      <c r="B26" s="2"/>
      <c r="C26" s="2"/>
      <c r="D26" s="2"/>
      <c r="E26" s="15" t="s">
        <v>54</v>
      </c>
      <c r="F26" s="12">
        <f>IFERROR(SUMIF(Assumptions!#REF!,B9,Assumptions!#REF!),0)</f>
        <v>0</v>
      </c>
      <c r="G26" s="4" t="s">
        <v>163</v>
      </c>
      <c r="H26" s="4" t="s">
        <v>164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</sheetData>
  <mergeCells count="1"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xr:uid="{00000000-0002-0000-0400-000006000000}">
          <x14:formula1>
            <xm:f>Assumptions!$A$98:$A$100</xm:f>
          </x14:formula1>
          <xm:sqref>B10</xm:sqref>
        </x14:dataValidation>
        <x14:dataValidation type="list" xr:uid="{00000000-0002-0000-0400-000007000000}">
          <x14:formula1>
            <xm:f>Assumptions!$D$98:$D$100</xm:f>
          </x14:formula1>
          <xm:sqref>B11</xm:sqref>
        </x14:dataValidation>
        <x14:dataValidation type="list" xr:uid="{00000000-0002-0000-0400-000008000000}">
          <x14:formula1>
            <xm:f>Assumptions!$A$104:$A$109</xm:f>
          </x14:formula1>
          <xm:sqref>B12</xm:sqref>
        </x14:dataValidation>
        <x14:dataValidation type="list" xr:uid="{00000000-0002-0000-0400-000009000000}">
          <x14:formula1>
            <xm:f>Assumptions!$D$104:$D$107</xm:f>
          </x14:formula1>
          <xm:sqref>B13</xm:sqref>
        </x14:dataValidation>
        <x14:dataValidation type="list" xr:uid="{00000000-0002-0000-0400-000003000000}">
          <x14:formula1>
            <xm:f>Assumptions!$A$61:$A$64</xm:f>
          </x14:formula1>
          <xm:sqref>B7</xm:sqref>
        </x14:dataValidation>
        <x14:dataValidation type="list" xr:uid="{00000000-0002-0000-0400-000005000000}">
          <x14:formula1>
            <xm:f>Assumptions!#REF!</xm:f>
          </x14:formula1>
          <xm:sqref>B9</xm:sqref>
        </x14:dataValidation>
        <x14:dataValidation type="list" xr:uid="{00000000-0002-0000-0400-000004000000}">
          <x14:formula1>
            <xm:f>Assumptions!$E$61:$E$78</xm:f>
          </x14:formula1>
          <xm:sqref>B8</xm:sqref>
        </x14:dataValidation>
        <x14:dataValidation type="list" xr:uid="{00000000-0002-0000-0400-000001000000}">
          <x14:formula1>
            <xm:f>Assumptions!$E$82:$E$94</xm:f>
          </x14:formula1>
          <xm:sqref>B5</xm:sqref>
        </x14:dataValidation>
        <x14:dataValidation type="list" xr:uid="{00000000-0002-0000-0400-000000000000}">
          <x14:formula1>
            <xm:f>Assumptions!$B$12:$B$57</xm:f>
          </x14:formula1>
          <xm:sqref>B4</xm:sqref>
        </x14:dataValidation>
        <x14:dataValidation type="list" xr:uid="{00000000-0002-0000-0400-000002000000}">
          <x14:formula1>
            <xm:f>Assumptions!$C$12:$C$57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Dashboard</vt:lpstr>
      <vt:lpstr>Scenario_Simulator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2026-06-03T07:52:37Z</dcterms:created>
  <dcterms:modified xsi:type="dcterms:W3CDTF">2026-06-20T08:21:30Z</dcterms:modified>
</cp:coreProperties>
</file>